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lculateur" sheetId="1" r:id="rId1"/>
    <sheet name="Combinaisons" sheetId="2" r:id="rId2"/>
  </sheets>
  <calcPr calcId="171027" fullCalcOnLoad="1"/>
</workbook>
</file>

<file path=xl/styles.xml><?xml version="1.0" encoding="utf-8"?>
<styleSheet xmlns="http://schemas.openxmlformats.org/spreadsheetml/2006/main">
  <fonts count="6">
    <font>
      <sz val="11"/>
      <name val="Calibri"/>
    </font>
    <font>
      <b/>
      <sz val="11"/>
      <name val="Calibri"/>
    </font>
    <font>
      <b/>
      <sz val="15"/>
      <color rgb="FF1F3864"/>
      <name val="Calibri"/>
    </font>
    <font>
      <i/>
      <sz val="9"/>
      <color rgb="FF7F7F7F"/>
      <name val="Calibri"/>
    </font>
    <font>
      <b/>
      <sz val="12"/>
      <name val="Calibri"/>
    </font>
    <font>
      <i/>
      <sz val="11"/>
      <color rgb="FFC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2" fontId="4" fillId="3" borderId="1" xfId="0" applyFont="1" applyFill="1" applyBorder="1" applyNumberFormat="1"/>
    <xf numFmtId="0" fontId="1" fillId="4" borderId="1" xfId="0" applyFont="1" applyFill="1" applyBorder="1"/>
    <xf numFmtId="0" fontId="0" fillId="0" borderId="1" xfId="0" applyBorder="1"/>
    <xf numFmtId="0" fontId="3" fillId="0" borderId="0" xfId="0" applyFont="1"/>
    <xf numFmtId="2" fontId="0" fillId="0" borderId="0" xfId="0" applyNumberFormat="1"/>
    <xf numFmtId="2" fontId="0" fillId="0" borderId="1" xfId="0" applyBorder="1" applyNumberFormat="1"/>
    <xf numFmtId="0" fontId="5" fillId="0" borderId="1" xfId="0" applyFont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46" customWidth="1"/>
    <col min="2" max="2" width="22" customWidth="1"/>
    <col min="3" max="3" width="30" customWidth="1"/>
  </cols>
  <sheetData>
    <row r="1">
      <c r="A1" t="inlineStr" s="2">
        <is>
          <t xml:space="preserve">Muralinko — Calculateur de surface imprimable</t>
        </is>
      </c>
    </row>
    <row r="2">
      <c r="A2" t="inlineStr" s="7">
        <is>
          <t xml:space="preserve">Les hauteurs machine viennent de l'onglet Combinaisons. La zone imprimable part de 54 cm du sol et monte jusqu'au sommet utile de la machine — les 35 cm se retirent de la machine, pas du mur.</t>
        </is>
      </c>
    </row>
    <row r="4">
      <c r="A4" t="inlineStr" s="1">
        <is>
          <t xml:space="preserve">SAISIE</t>
        </is>
      </c>
    </row>
    <row r="5">
      <c r="A5" t="inlineStr" s="6">
        <is>
          <t xml:space="preserve">Hauteur du mur (cm)</t>
        </is>
      </c>
      <c r="B5" s="3">
        <v>250</v>
      </c>
    </row>
    <row r="6">
      <c r="A6" t="inlineStr" s="6">
        <is>
          <t xml:space="preserve">Largeur du mur (cm)</t>
        </is>
      </c>
      <c r="B6" s="3">
        <v>400</v>
      </c>
    </row>
    <row r="7">
      <c r="A7" t="inlineStr" s="6">
        <is>
          <t xml:space="preserve">Plafond ?  (Oui=1 / Non=0)</t>
        </is>
      </c>
      <c r="B7" s="3">
        <v>1</v>
      </c>
    </row>
    <row r="8">
      <c r="A8" t="inlineStr" s="6">
        <is>
          <t xml:space="preserve">Mur adjacent a gauche ?  (Oui=1 / Non=0)</t>
        </is>
      </c>
      <c r="B8" s="3">
        <v>0</v>
      </c>
    </row>
    <row r="9">
      <c r="A9" t="inlineStr" s="6">
        <is>
          <t xml:space="preserve">Mur adjacent a droite ?  (Oui=1 / Non=0)</t>
        </is>
      </c>
      <c r="B9" s="3">
        <v>0</v>
      </c>
    </row>
    <row r="11">
      <c r="A11" t="inlineStr" s="1">
        <is>
          <t xml:space="preserve">RESULTAT</t>
        </is>
      </c>
    </row>
    <row r="12">
      <c r="A12" t="inlineStr" s="6">
        <is>
          <t xml:space="preserve">Surface imprimable (m2)</t>
        </is>
      </c>
      <c r="B12" s="4">
        <f>ROUND($B$13*$B$14/10000,2)</f>
      </c>
    </row>
    <row r="13">
      <c r="A13" t="inlineStr" s="6">
        <is>
          <t xml:space="preserve">Hauteur imprimable (cm)</t>
        </is>
      </c>
      <c r="B13" s="8">
        <f>IF($B$7=1,IF($B$31=0,0,$B$16-Combinaisons!$B$10-Combinaisons!$B$11),MAX(0,MIN($B$5-Combinaisons!$B$10,$B$16-Combinaisons!$B$10)))</f>
      </c>
    </row>
    <row r="14">
      <c r="A14" t="inlineStr" s="6">
        <is>
          <t xml:space="preserve">Largeur imprimable (cm)</t>
        </is>
      </c>
      <c r="B14" s="8">
        <f>MAX(0,$B$6-IF($B$8=1,10,0)-IF($B$9=1,IF($B$16&gt;=400,60,48),0))</f>
      </c>
    </row>
    <row r="15">
      <c r="A15" t="inlineStr" s="6">
        <is>
          <t xml:space="preserve">Configuration machine retenue</t>
        </is>
      </c>
      <c r="B15" s="1">
        <f>IF($B$31=0,"—",INDEX(Combinaisons!$A$15:$A$20,$B$31))</f>
      </c>
    </row>
    <row r="16">
      <c r="A16" t="inlineStr" s="6">
        <is>
          <t xml:space="preserve">Hauteur totale de la machine (cm)</t>
        </is>
      </c>
      <c r="B16" s="8">
        <f>IF($B$31=0,0,INDEX(Combinaisons!$B$15:$B$20,$B$31))</f>
      </c>
    </row>
    <row r="17">
      <c r="A17" t="inlineStr" s="6">
        <is>
          <t xml:space="preserve">Marge haute — sous le plafond (cm)</t>
        </is>
      </c>
      <c r="B17" s="8">
        <f>IF($B$13&lt;=0,0,$B$5-Combinaisons!$B$10-$B$13)</f>
      </c>
    </row>
    <row r="18">
      <c r="A18" t="inlineStr" s="6">
        <is>
          <t xml:space="preserve">Marge basse — depuis le sol (cm)</t>
        </is>
      </c>
      <c r="B18" s="8">
        <f>IF($B$13&lt;=0,0,Combinaisons!$B$10)</f>
      </c>
    </row>
    <row r="19">
      <c r="A19" t="inlineStr" s="6">
        <is>
          <t xml:space="preserve">Marge gauche (cm)</t>
        </is>
      </c>
      <c r="B19" s="8">
        <f>IF($B$8=1,10,0)</f>
      </c>
    </row>
    <row r="20">
      <c r="A20" t="inlineStr" s="6">
        <is>
          <t xml:space="preserve">Marge droite (cm)</t>
        </is>
      </c>
      <c r="B20" s="8">
        <f>IF($B$9=1,IF($B$16&gt;=400,60,48),0)</f>
      </c>
    </row>
    <row r="21">
      <c r="A21" t="inlineStr" s="6">
        <is>
          <t xml:space="preserve">Statut</t>
        </is>
      </c>
      <c r="B21" s="1">
        <f>IF(AND($B$7=1,$B$31=0),"Impression impossible : il faut au moins "&amp;ROUNDUP(MIN(Combinaisons!$B$15:$B$20),0)&amp;" cm sous plafond",IF($B$13&lt;=0,"Aucune surface imprimable",IF(AND($B$7=1,$B$5&gt;MAX(Combinaisons!$B$15:$B$20)),"Mur plus haut que la machine — impression limitee a "&amp;ROUND($B$13,1)&amp;" cm","OK")))</f>
      </c>
    </row>
    <row r="23">
      <c r="A23" t="inlineStr" s="1">
        <is>
          <t xml:space="preserve">RAPPEL DES REGLES</t>
        </is>
      </c>
    </row>
    <row r="24">
      <c r="A24" t="inlineStr" s="7">
        <is>
          <t xml:space="preserve">Avec plafond : on retient le plus haut assemblage dont la hauteur TOTALE tient sous le plafond, puis on retire 54 cm au sol et 35 cm sous le sommet de la machine.</t>
        </is>
      </c>
    </row>
    <row r="25">
      <c r="A25" t="inlineStr" s="7">
        <is>
          <t xml:space="preserve">Sans plafond : pas de perte de 35 cm — la bande va de 54 cm du sol jusqu'en haut du mur, plafonnee a la capacite de la machine.</t>
        </is>
      </c>
    </row>
    <row r="26">
      <c r="A26" t="inlineStr" s="7">
        <is>
          <t xml:space="preserve">Marges laterales : 10 cm cote mur adjacent gauche, 48 cm cote droit (60 cm avec le stabilisateur, au-dela de 4 m d'assemblage).</t>
        </is>
      </c>
    </row>
    <row r="27">
      <c r="A27" t="inlineStr" s="7">
        <is>
          <t xml:space="preserve">Sans barre 4, pas d'impression : un mur sous plafond plus bas que le plus petit assemblage n'est pas imprimable.</t>
        </is>
      </c>
    </row>
    <row r="31">
      <c r="A31" t="inlineStr" s="7">
        <is>
          <t xml:space="preserve">Index de l assemblage (calcul interne)</t>
        </is>
      </c>
      <c r="B31" s="7">
        <f>IF($B$7=1,COUNTIF(Combinaisons!$B$15:$B$20,"&lt;="&amp;$B$5),MIN(6,COUNTIF(Combinaisons!$B$15:$B$20,"&lt;"&amp;$B$5)+1))</f>
      </c>
    </row>
  </sheetData>
</worksheet>
</file>

<file path=xl/worksheets/sheet2.xml><?xml version="1.0" encoding="utf-8"?>
<worksheet xmlns="http://schemas.openxmlformats.org/spreadsheetml/2006/main">
  <cols>
    <col min="1" max="1" width="46" customWidth="1"/>
    <col min="2" max="2" width="20" customWidth="1"/>
    <col min="3" max="3" width="26" customWidth="1"/>
    <col min="4" max="4" width="26" customWidth="1"/>
    <col min="5" max="5" width="26" customWidth="1"/>
  </cols>
  <sheetData>
    <row r="1">
      <c r="A1" t="inlineStr" s="2">
        <is>
          <t xml:space="preserve">Combinaisons de barres — table de reference</t>
        </is>
      </c>
    </row>
    <row r="2">
      <c r="A2" t="inlineStr" s="7">
        <is>
          <t xml:space="preserve">Toutes les hauteurs de cet onglet sont calculees a partir des 5 valeurs du bloc ELEMENTS. Changer une valeur met a jour les assemblages ET le calculateur.</t>
        </is>
      </c>
    </row>
    <row r="4">
      <c r="A4" t="inlineStr" s="1">
        <is>
          <t xml:space="preserve">ELEMENTS  (seules cellules modifiables)</t>
        </is>
      </c>
    </row>
    <row r="5">
      <c r="A5" t="inlineStr" s="6">
        <is>
          <t xml:space="preserve">Corps (main body)</t>
        </is>
      </c>
      <c r="B5" s="3">
        <v>145</v>
      </c>
    </row>
    <row r="6">
      <c r="A6" t="inlineStr" s="6">
        <is>
          <t xml:space="preserve">Barre 1</t>
        </is>
      </c>
      <c r="B6" s="3">
        <v>39.2</v>
      </c>
    </row>
    <row r="7">
      <c r="A7" t="inlineStr" s="6">
        <is>
          <t xml:space="preserve">Barre 2</t>
        </is>
      </c>
      <c r="B7" s="3">
        <v>39.2</v>
      </c>
    </row>
    <row r="8">
      <c r="A8" t="inlineStr" s="6">
        <is>
          <t xml:space="preserve">Barre 3</t>
        </is>
      </c>
      <c r="B8" s="3">
        <v>100</v>
      </c>
    </row>
    <row r="9">
      <c r="A9" t="inlineStr" s="6">
        <is>
          <t xml:space="preserve">Barre 4</t>
        </is>
      </c>
      <c r="B9" s="3">
        <v>97.5</v>
      </c>
    </row>
    <row r="10">
      <c r="A10" t="inlineStr" s="6">
        <is>
          <t xml:space="preserve">Zone morte au sol (cm)</t>
        </is>
      </c>
      <c r="B10" s="3">
        <v>54</v>
      </c>
    </row>
    <row r="11">
      <c r="A11" t="inlineStr" s="6">
        <is>
          <t xml:space="preserve">Zone morte sous plafond (cm)</t>
        </is>
      </c>
      <c r="B11" s="3">
        <v>35</v>
      </c>
    </row>
    <row r="13">
      <c r="A13" t="inlineStr" s="1">
        <is>
          <t xml:space="preserve">ASSEMBLAGES VALIDES — la barre 4 est toujours montee, en derniere position</t>
        </is>
      </c>
    </row>
    <row r="14">
      <c r="A14" t="inlineStr" s="5">
        <is>
          <t xml:space="preserve">Assemblage</t>
        </is>
      </c>
      <c r="B14" t="inlineStr" s="5">
        <is>
          <t xml:space="preserve">Hauteur totale (cm)</t>
        </is>
      </c>
      <c r="C14" t="inlineStr" s="5">
        <is>
          <t xml:space="preserve">Imprimable AVEC plafond (cm)</t>
        </is>
      </c>
      <c r="D14" t="inlineStr" s="5">
        <is>
          <t xml:space="preserve">Imprimable SANS plafond (cm)</t>
        </is>
      </c>
      <c r="E14" t="inlineStr" s="5">
        <is>
          <t xml:space="preserve">Mur mini sous plafond (cm)</t>
        </is>
      </c>
    </row>
    <row r="15">
      <c r="A15" t="inlineStr" s="6">
        <is>
          <t xml:space="preserve">Corps + Barre 4</t>
        </is>
      </c>
      <c r="B15" s="9">
        <f>$B$5+$B$9</f>
      </c>
      <c r="C15" s="9">
        <f>B15-$B$10-$B$11</f>
      </c>
      <c r="D15" s="9">
        <f>B15-$B$10</f>
      </c>
      <c r="E15" s="9">
        <f>B15</f>
      </c>
    </row>
    <row r="16">
      <c r="A16" t="inlineStr" s="6">
        <is>
          <t xml:space="preserve">Corps + Barre 1 ou 2 + Barre 4</t>
        </is>
      </c>
      <c r="B16" s="9">
        <f>$B$5+$B$6+$B$9</f>
      </c>
      <c r="C16" s="9">
        <f>B16-$B$10-$B$11</f>
      </c>
      <c r="D16" s="9">
        <f>B16-$B$10</f>
      </c>
      <c r="E16" s="9">
        <f>B16</f>
      </c>
    </row>
    <row r="17">
      <c r="A17" t="inlineStr" s="6">
        <is>
          <t xml:space="preserve">Corps + Barres 1+2 + Barre 4</t>
        </is>
      </c>
      <c r="B17" s="9">
        <f>$B$5+$B$6+$B$7+$B$9</f>
      </c>
      <c r="C17" s="9">
        <f>B17-$B$10-$B$11</f>
      </c>
      <c r="D17" s="9">
        <f>B17-$B$10</f>
      </c>
      <c r="E17" s="9">
        <f>B17</f>
      </c>
    </row>
    <row r="18">
      <c r="A18" t="inlineStr" s="6">
        <is>
          <t xml:space="preserve">Corps + Barre 3 + Barre 4</t>
        </is>
      </c>
      <c r="B18" s="9">
        <f>$B$5+$B$8+$B$9</f>
      </c>
      <c r="C18" s="9">
        <f>B18-$B$10-$B$11</f>
      </c>
      <c r="D18" s="9">
        <f>B18-$B$10</f>
      </c>
      <c r="E18" s="9">
        <f>B18</f>
      </c>
    </row>
    <row r="19">
      <c r="A19" t="inlineStr" s="6">
        <is>
          <t xml:space="preserve">Corps + Barre 1 ou 2 + Barre 3 + Barre 4</t>
        </is>
      </c>
      <c r="B19" s="9">
        <f>$B$5+$B$6+$B$8+$B$9</f>
      </c>
      <c r="C19" s="9">
        <f>B19-$B$10-$B$11</f>
      </c>
      <c r="D19" s="9">
        <f>B19-$B$10</f>
      </c>
      <c r="E19" s="9">
        <f>B19</f>
      </c>
    </row>
    <row r="20">
      <c r="A20" t="inlineStr" s="6">
        <is>
          <t xml:space="preserve">Corps + Barres 1+2+3 + Barre 4</t>
        </is>
      </c>
      <c r="B20" s="9">
        <f>$B$5+$B$6+$B$7+$B$8+$B$9</f>
      </c>
      <c r="C20" s="9">
        <f>B20-$B$10-$B$11</f>
      </c>
      <c r="D20" s="9">
        <f>B20-$B$10</f>
      </c>
      <c r="E20" s="9">
        <f>B20</f>
      </c>
    </row>
    <row r="22">
      <c r="A22" t="inlineStr" s="1">
        <is>
          <t xml:space="preserve">Ordre croissant des hauteurs (indispensable au calculateur)</t>
        </is>
      </c>
      <c r="B22" s="1">
        <f>IF(AND(B16&gt;=B15,B17&gt;=B16,B18&gt;=B17,B19&gt;=B18,B20&gt;=B19),"OK","ATTENTION : retrier les assemblages par hauteur croissante")</f>
      </c>
    </row>
    <row r="24">
      <c r="A24" t="inlineStr" s="1">
        <is>
          <t xml:space="preserve">ASSEMBLAGES IMPOSSIBLES — sans barre 4, pas d'impression</t>
        </is>
      </c>
    </row>
    <row r="25">
      <c r="A25" t="inlineStr" s="5">
        <is>
          <t xml:space="preserve">Assemblage</t>
        </is>
      </c>
      <c r="B25" t="inlineStr" s="5">
        <is>
          <t xml:space="preserve">Hauteur totale (cm)</t>
        </is>
      </c>
      <c r="C25" t="inlineStr" s="5">
        <is>
          <t xml:space="preserve">Imprimable</t>
        </is>
      </c>
      <c r="D25" t="inlineStr" s="5">
        <is>
          <t xml:space="preserve">Raison</t>
        </is>
      </c>
    </row>
    <row r="26">
      <c r="A26" t="inlineStr" s="6">
        <is>
          <t xml:space="preserve">Corps + Barre 1  (ou barre 2)</t>
        </is>
      </c>
      <c r="B26" s="9">
        <f>$B$5+$B$6</f>
      </c>
      <c r="C26" t="inlineStr" s="10">
        <is>
          <t xml:space="preserve">aucune</t>
        </is>
      </c>
      <c r="D26" t="inlineStr" s="6">
        <is>
          <t xml:space="preserve">la barre 4 porte la ceinture de la tete</t>
        </is>
      </c>
    </row>
    <row r="27">
      <c r="A27" t="inlineStr" s="6">
        <is>
          <t xml:space="preserve">Corps + Barres 1+2</t>
        </is>
      </c>
      <c r="B27" s="9">
        <f>$B$5+$B$6+$B$7</f>
      </c>
      <c r="C27" t="inlineStr" s="10">
        <is>
          <t xml:space="preserve">aucune</t>
        </is>
      </c>
      <c r="D27" t="inlineStr" s="6">
        <is>
          <t xml:space="preserve">la barre 4 porte la ceinture de la tete</t>
        </is>
      </c>
    </row>
    <row r="28">
      <c r="A28" t="inlineStr" s="6">
        <is>
          <t xml:space="preserve">Corps + Barre 3</t>
        </is>
      </c>
      <c r="B28" s="9">
        <f>$B$5+$B$8</f>
      </c>
      <c r="C28" t="inlineStr" s="10">
        <is>
          <t xml:space="preserve">aucune</t>
        </is>
      </c>
      <c r="D28" t="inlineStr" s="6">
        <is>
          <t xml:space="preserve">la barre 4 porte la ceinture de la tete</t>
        </is>
      </c>
    </row>
    <row r="29">
      <c r="A29" t="inlineStr" s="6">
        <is>
          <t xml:space="preserve">Corps + Barre 1 ou 2 + Barre 3</t>
        </is>
      </c>
      <c r="B29" s="9">
        <f>$B$5+$B$6+$B$8</f>
      </c>
      <c r="C29" t="inlineStr" s="10">
        <is>
          <t xml:space="preserve">aucune</t>
        </is>
      </c>
      <c r="D29" t="inlineStr" s="6">
        <is>
          <t xml:space="preserve">la barre 4 porte la ceinture de la tete</t>
        </is>
      </c>
    </row>
    <row r="30">
      <c r="A30" t="inlineStr" s="6">
        <is>
          <t xml:space="preserve">Corps + Barres 1+2+3</t>
        </is>
      </c>
      <c r="B30" s="9">
        <f>$B$5+$B$6+$B$7+$B$8</f>
      </c>
      <c r="C30" t="inlineStr" s="10">
        <is>
          <t xml:space="preserve">aucune</t>
        </is>
      </c>
      <c r="D30" t="inlineStr" s="6">
        <is>
          <t xml:space="preserve">la barre 4 porte la ceinture de la tete</t>
        </is>
      </c>
    </row>
    <row r="32">
      <c r="A32" t="inlineStr" s="7">
        <is>
          <t xml:space="preserve">Barres 1 et 2 : dimensions identiques, donc interchangeables — un assemblage avec la barre 2 donne la meme hauteur qu'avec la barre 1.</t>
        </is>
      </c>
    </row>
    <row r="33">
      <c r="A33" t="inlineStr" s="7">
        <is>
          <t xml:space="preserve">A venir : les barres plus courtes capables de remplacer la barre 4 abaisseront le plancher de 2,43 m. Les ajouter dans ELEMENTS et creer leurs lignes d'assemblage ici.</t>
        </is>
      </c>
    </row>
  </sheetData>
</worksheet>
</file>