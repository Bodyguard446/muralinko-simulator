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culateur" sheetId="1" r:id="rId1"/>
  </sheets>
  <calcPr calcId="171027" fullCalcOnLoad="1"/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5"/>
      <color rgb="FF1F3864"/>
      <name val="Calibri"/>
    </font>
    <font>
      <i/>
      <sz val="9"/>
      <color rgb="FF7F7F7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2" fontId="4" fillId="3" borderId="1" xfId="0" applyFont="1" applyFill="1" applyBorder="1" applyNumberFormat="1"/>
    <xf numFmtId="0" fontId="1" fillId="4" borderId="1" xfId="0" applyFont="1" applyFill="1" applyBorder="1"/>
    <xf numFmtId="0" fontId="0" fillId="0" borderId="1" xfId="0" applyBorder="1"/>
    <xf numFmtId="0" fontId="3" fillId="0" borderId="0" xfId="0" applyFon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4" customWidth="1"/>
    <col min="2" max="2" width="21" customWidth="1"/>
    <col min="3" max="4" width="28" customWidth="1"/>
  </cols>
  <sheetData>
    <row r="1">
      <c r="A1" t="inlineStr" s="2">
        <is>
          <t xml:space="preserve">Muralinko — Calculateur de surface imprimable</t>
        </is>
      </c>
    </row>
    <row r="2">
      <c r="A2" t="inlineStr" s="7">
        <is>
          <t xml:space="preserve">Modele machine : corps 145,0 + barre 4 97,5 (toujours montee, elle porte la ceinture de la tete) + barres 1 et 2 (39,2 chacune) et barre 3 (100,0). Sans barre 4, pas d'impression.</t>
        </is>
      </c>
    </row>
    <row r="4">
      <c r="A4" t="inlineStr" s="1">
        <is>
          <t xml:space="preserve">SAISIE</t>
        </is>
      </c>
    </row>
    <row r="5">
      <c r="A5" t="inlineStr" s="0">
        <is>
          <t xml:space="preserve">Hauteur du mur (cm)</t>
        </is>
      </c>
      <c r="B5" s="3">
        <v>250</v>
      </c>
    </row>
    <row r="6">
      <c r="A6" t="inlineStr" s="0">
        <is>
          <t xml:space="preserve">Largeur du mur (cm)</t>
        </is>
      </c>
      <c r="B6" s="3">
        <v>400</v>
      </c>
    </row>
    <row r="7">
      <c r="A7" t="inlineStr" s="0">
        <is>
          <t xml:space="preserve">Plafond ?  (Oui=1 / Non=0)</t>
        </is>
      </c>
      <c r="B7" s="3">
        <v>1</v>
      </c>
    </row>
    <row r="8">
      <c r="A8" t="inlineStr" s="0">
        <is>
          <t xml:space="preserve">Mur adjacent a gauche ?  (Oui=1 / Non=0)</t>
        </is>
      </c>
      <c r="B8" s="3">
        <v>0</v>
      </c>
    </row>
    <row r="9">
      <c r="A9" t="inlineStr" s="0">
        <is>
          <t xml:space="preserve">Mur adjacent a droite ?  (Oui=1 / Non=0)</t>
        </is>
      </c>
      <c r="B9" s="3">
        <v>0</v>
      </c>
    </row>
    <row r="11">
      <c r="A11" t="inlineStr" s="1">
        <is>
          <t xml:space="preserve">RESULTAT</t>
        </is>
      </c>
    </row>
    <row r="12">
      <c r="A12" t="inlineStr" s="0">
        <is>
          <t xml:space="preserve">Surface imprimable (m2)</t>
        </is>
      </c>
      <c r="B12" s="4">
        <f>ROUND($B$13*$B$14/10000,2)</f>
      </c>
    </row>
    <row r="13">
      <c r="A13" t="inlineStr" s="0">
        <is>
          <t xml:space="preserve">Hauteur imprimable (cm)</t>
        </is>
      </c>
      <c r="B13" s="8">
        <f>IF($B$7=1,IF($B$31=0,0,$B$16-54-35),MAX(0,MIN($B$5-54,$B$16-54)))</f>
      </c>
    </row>
    <row r="14">
      <c r="A14" t="inlineStr" s="0">
        <is>
          <t xml:space="preserve">Largeur imprimable (cm)</t>
        </is>
      </c>
      <c r="B14" s="8">
        <f>MAX(0,$B$6-IF($B$8=1,10,0)-IF($B$9=1,IF($B$16&gt;=400,60,48),0))</f>
      </c>
    </row>
    <row r="15">
      <c r="A15" t="inlineStr" s="0">
        <is>
          <t xml:space="preserve">Configuration machine retenue</t>
        </is>
      </c>
      <c r="B15" s="0">
        <f>IF($B$31=0,"—",INDEX($A$25:$A$30,$B$31))</f>
      </c>
    </row>
    <row r="16">
      <c r="A16" t="inlineStr" s="0">
        <is>
          <t xml:space="preserve">Hauteur totale de la machine (cm)</t>
        </is>
      </c>
      <c r="B16" s="8">
        <f>IF($B$31=0,0,INDEX($B$25:$B$30,$B$31))</f>
      </c>
    </row>
    <row r="17">
      <c r="A17" t="inlineStr" s="0">
        <is>
          <t xml:space="preserve">Marge haute — sous le plafond (cm)</t>
        </is>
      </c>
      <c r="B17" s="8">
        <f>IF($B$13&lt;=0,0,$B$5-54-$B$13)</f>
      </c>
    </row>
    <row r="18">
      <c r="A18" t="inlineStr" s="0">
        <is>
          <t xml:space="preserve">Marge basse — depuis le sol (cm)</t>
        </is>
      </c>
      <c r="B18" s="8">
        <f>IF($B$13&lt;=0,0,54)</f>
      </c>
    </row>
    <row r="19">
      <c r="A19" t="inlineStr" s="0">
        <is>
          <t xml:space="preserve">Marge gauche (cm)</t>
        </is>
      </c>
      <c r="B19" s="8">
        <f>IF($B$8=1,10,0)</f>
      </c>
    </row>
    <row r="20">
      <c r="A20" t="inlineStr" s="0">
        <is>
          <t xml:space="preserve">Marge droite (cm)</t>
        </is>
      </c>
      <c r="B20" s="8">
        <f>IF($B$9=1,IF($B$16&gt;=400,60,48),0)</f>
      </c>
    </row>
    <row r="21">
      <c r="A21" t="inlineStr" s="0">
        <is>
          <t xml:space="preserve">Statut</t>
        </is>
      </c>
      <c r="B21" s="1">
        <f>IF(AND($B$7=1,$B$31=0),"Impression impossible : il faut au moins 243 cm sous plafond",IF($B$13&lt;=0,"Aucune surface imprimable",IF(AND($B$7=1,$B$5&gt;420.9),"Mur plus haut que la machine — impression limitee a 331,9 cm","OK")))</f>
      </c>
    </row>
    <row r="23">
      <c r="A23" t="inlineStr" s="1">
        <is>
          <t xml:space="preserve">TABLE MACHINE — ne pas modifier</t>
        </is>
      </c>
    </row>
    <row r="24">
      <c r="A24" t="inlineStr" s="5">
        <is>
          <t xml:space="preserve">Configuration</t>
        </is>
      </c>
      <c r="B24" t="inlineStr" s="5">
        <is>
          <t xml:space="preserve">Hauteur totale (cm)</t>
        </is>
      </c>
      <c r="C24" t="inlineStr" s="5">
        <is>
          <t xml:space="preserve">Imprimable avec plafond (cm)</t>
        </is>
      </c>
      <c r="D24" t="inlineStr" s="5">
        <is>
          <t xml:space="preserve">Imprimable sans plafond (cm)</t>
        </is>
      </c>
    </row>
    <row r="25">
      <c r="A25" t="inlineStr" s="6">
        <is>
          <t xml:space="preserve">Corps + Barre 4</t>
        </is>
      </c>
      <c r="B25" s="6">
        <v>242.5</v>
      </c>
      <c r="C25" s="6">
        <v>153.5</v>
      </c>
      <c r="D25" s="6">
        <v>188.5</v>
      </c>
    </row>
    <row r="26">
      <c r="A26" t="inlineStr" s="6">
        <is>
          <t xml:space="preserve">Corps + Barre 1 ou 2 + Barre 4</t>
        </is>
      </c>
      <c r="B26" s="6">
        <v>281.7</v>
      </c>
      <c r="C26" s="6">
        <v>192.7</v>
      </c>
      <c r="D26" s="6">
        <v>227.7</v>
      </c>
    </row>
    <row r="27">
      <c r="A27" t="inlineStr" s="6">
        <is>
          <t xml:space="preserve">Corps + Barres 1+2 + Barre 4</t>
        </is>
      </c>
      <c r="B27" s="6">
        <v>320.9</v>
      </c>
      <c r="C27" s="6">
        <v>231.9</v>
      </c>
      <c r="D27" s="6">
        <v>266.9</v>
      </c>
    </row>
    <row r="28">
      <c r="A28" t="inlineStr" s="6">
        <is>
          <t xml:space="preserve">Corps + Barre 3 + Barre 4</t>
        </is>
      </c>
      <c r="B28" s="6">
        <v>342.5</v>
      </c>
      <c r="C28" s="6">
        <v>253.5</v>
      </c>
      <c r="D28" s="6">
        <v>288.5</v>
      </c>
    </row>
    <row r="29">
      <c r="A29" t="inlineStr" s="6">
        <is>
          <t xml:space="preserve">Corps + Barre 1 ou 2 + Barre 3 + Barre 4</t>
        </is>
      </c>
      <c r="B29" s="6">
        <v>381.7</v>
      </c>
      <c r="C29" s="6">
        <v>292.7</v>
      </c>
      <c r="D29" s="6">
        <v>327.7</v>
      </c>
    </row>
    <row r="30">
      <c r="A30" t="inlineStr" s="6">
        <is>
          <t xml:space="preserve">Corps + Barres 1+2+3 + Barre 4</t>
        </is>
      </c>
      <c r="B30" s="6">
        <v>420.9</v>
      </c>
      <c r="C30" s="6">
        <v>331.9</v>
      </c>
      <c r="D30" s="6">
        <v>366.9</v>
      </c>
    </row>
    <row r="31">
      <c r="A31" t="inlineStr" s="7">
        <is>
          <t xml:space="preserve">Index configuration (calcul interne)</t>
        </is>
      </c>
      <c r="B31" s="7">
        <f>IF($B$7=1,COUNTIF($B$25:$B$30,"&lt;="&amp;$B$5),MIN(6,COUNTIF($B$25:$B$30,"&lt;"&amp;$B$5)+1))</f>
      </c>
    </row>
    <row r="33">
      <c r="A33" t="inlineStr" s="7">
        <is>
          <t xml:space="preserve">Avec plafond : on retient le plus haut assemblage dont la hauteur TOTALE tient sous le plafond ; les 35 cm se retirent de la machine, pas du mur.</t>
        </is>
      </c>
    </row>
    <row r="34">
      <c r="A34" t="inlineStr" s="7">
        <is>
          <t xml:space="preserve">Sans plafond : pas de perte de 35 cm, la bande imprimable va de 54 cm du sol jusqu'en haut du mur, plafonnee a la capacite machine (366,9 cm).</t>
        </is>
      </c>
    </row>
  </sheetData>
</worksheet>
</file>